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Calculo" sheetId="2" state="visible" r:id="rId4"/>
    <sheet name="Cenarios" sheetId="3" state="visible" r:id="rId5"/>
    <sheet name="Stress T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<sst xmlns="http://schemas.openxmlformats.org/spreadsheetml/2006/main" count="237" uniqueCount="155">
  <si>
    <t xml:space="preserve">RR Engine — Premissas (v1)</t>
  </si>
  <si>
    <t xml:space="preserve">Celulas em azul sao editaveis. Atualize aqui que o resto da planilha recalcula.</t>
  </si>
  <si>
    <t xml:space="preserve">Configuracoes gerais</t>
  </si>
  <si>
    <t xml:space="preserve">FX USD/BRL</t>
  </si>
  <si>
    <t xml:space="preserve">Consistente com FX_USD_BRL em server/_core/llm-pricing.ts</t>
  </si>
  <si>
    <t xml:space="preserve">Plano avulso (R$/orcamento)</t>
  </si>
  <si>
    <t xml:space="preserve">Pricing publicado em server/stripe/products.ts</t>
  </si>
  <si>
    <t xml:space="preserve">Plano mensal (R$/mes)</t>
  </si>
  <si>
    <t xml:space="preserve">Quota mensal (orcamentos)</t>
  </si>
  <si>
    <t xml:space="preserve">Receita media por orcamento no mensal (R$)</t>
  </si>
  <si>
    <t xml:space="preserve">Stripe fee variavel (%)</t>
  </si>
  <si>
    <t xml:space="preserve">Stripe fee fixo (R$)</t>
  </si>
  <si>
    <t xml:space="preserve">Custo de infraestrutura mensal</t>
  </si>
  <si>
    <t xml:space="preserve">Manus atual (R$/mes)</t>
  </si>
  <si>
    <t xml:space="preserve">Creditos legados — custo zero hoje</t>
  </si>
  <si>
    <t xml:space="preserve">Pos-migracao otimista (R$/mes)</t>
  </si>
  <si>
    <t xml:space="preserve">Faixa otimista: R$ 400-700 (Vercel/Railway + TiDB + S3 + Anthropic direto). Media 550.</t>
  </si>
  <si>
    <t xml:space="preserve">Volumes mensais por cenario de mercado</t>
  </si>
  <si>
    <t xml:space="preserve">Conservador (orcamentos/mes)</t>
  </si>
  <si>
    <t xml:space="preserve">Validacao inicial — ~1 cliente regular</t>
  </si>
  <si>
    <t xml:space="preserve">Moderado (orcamentos/mes)</t>
  </si>
  <si>
    <t xml:space="preserve">~3-4/dia util — 1 founder + 1 vendedor full-time</t>
  </si>
  <si>
    <t xml:space="preserve">Otimista — ambicao 18 meses (orcamentos/mes)</t>
  </si>
  <si>
    <t xml:space="preserve">~33/dia — exige forca de venda multiplicada</t>
  </si>
  <si>
    <t xml:space="preserve">Precos por modelo (USD por milhao de tokens)</t>
  </si>
  <si>
    <t xml:space="preserve">Modelo</t>
  </si>
  <si>
    <t xml:space="preserve">Input/Mtok</t>
  </si>
  <si>
    <t xml:space="preserve">Output/Mtok</t>
  </si>
  <si>
    <t xml:space="preserve">Fonte</t>
  </si>
  <si>
    <t xml:space="preserve">claude-opus-4-6</t>
  </si>
  <si>
    <t xml:space="preserve">Anthropic API list price</t>
  </si>
  <si>
    <t xml:space="preserve">claude-sonnet-4-6</t>
  </si>
  <si>
    <t xml:space="preserve">claude-haiku-4-5</t>
  </si>
  <si>
    <t xml:space="preserve">gemini-2.5-flash</t>
  </si>
  <si>
    <t xml:space="preserve">Google AI Studio list price</t>
  </si>
  <si>
    <t xml:space="preserve">Cenarios de tamanho de obra</t>
  </si>
  <si>
    <t xml:space="preserve">Cenario</t>
  </si>
  <si>
    <t xml:space="preserve">Memorial (tokens)</t>
  </si>
  <si>
    <t xml:space="preserve">Itens orcados</t>
  </si>
  <si>
    <t xml:space="preserve">Caso real de referencia</t>
  </si>
  <si>
    <t xml:space="preserve">Pequeno</t>
  </si>
  <si>
    <t xml:space="preserve">Reforma residencial pequena (banheiro/cozinha)</t>
  </si>
  <si>
    <t xml:space="preserve">Medio</t>
  </si>
  <si>
    <t xml:space="preserve">Reforma Vania REV08</t>
  </si>
  <si>
    <t xml:space="preserve">Grande</t>
  </si>
  <si>
    <t xml:space="preserve">Hangar / obra industrial</t>
  </si>
  <si>
    <t xml:space="preserve">Bases SINAPI/PINI</t>
  </si>
  <si>
    <t xml:space="preserve">Custo por consulta (R$)</t>
  </si>
  <si>
    <t xml:space="preserve">Base estatica + scraping orcamentor.com (gratis). PINI scraping pendente decisao P1.4.1.</t>
  </si>
  <si>
    <t xml:space="preserve">Custo por orcamento (3 cenarios) — apos P0+P1</t>
  </si>
  <si>
    <t xml:space="preserve">Tokens estimados a partir dos prompts em server/agents/index.ts. Modelos refletem P1.1 e P1.2.</t>
  </si>
  <si>
    <t xml:space="preserve">Estimativa de tokens por agente e cenario</t>
  </si>
  <si>
    <t xml:space="preserve">Agente</t>
  </si>
  <si>
    <t xml:space="preserve">Notas</t>
  </si>
  <si>
    <t xml:space="preserve">Input</t>
  </si>
  <si>
    <t xml:space="preserve">Output</t>
  </si>
  <si>
    <t xml:space="preserve">Custo USD</t>
  </si>
  <si>
    <t xml:space="preserve">Engenheiro Tecnico</t>
  </si>
  <si>
    <t xml:space="preserve">System prompt grande (~3.7k tokens) com tabelas de inferencia.</t>
  </si>
  <si>
    <t xml:space="preserve">Logistica</t>
  </si>
  <si>
    <t xml:space="preserve">Default Gemini Flash; baixo custo por token.</t>
  </si>
  <si>
    <t xml:space="preserve">Orcamentista</t>
  </si>
  <si>
    <t xml:space="preserve">Output dominante; price anchors injetadas top-15.</t>
  </si>
  <si>
    <t xml:space="preserve">Tributario</t>
  </si>
  <si>
    <t xml:space="preserve">Migrado para Sonnet em P1.1.</t>
  </si>
  <si>
    <t xml:space="preserve">Comercial</t>
  </si>
  <si>
    <t xml:space="preserve">Deterministico desde P1.2 — zero custo LLM.</t>
  </si>
  <si>
    <t xml:space="preserve">Gestao Projetos</t>
  </si>
  <si>
    <t xml:space="preserve">Cronograma diario detalhado. Sumarizado pos-P0.4.</t>
  </si>
  <si>
    <t xml:space="preserve">Financeiro</t>
  </si>
  <si>
    <t xml:space="preserve">Juridico</t>
  </si>
  <si>
    <t xml:space="preserve">Migrado para Sonnet em P1.1; templating em P1.6 reduz output.</t>
  </si>
  <si>
    <t xml:space="preserve">Board</t>
  </si>
  <si>
    <t xml:space="preserve">Auditor</t>
  </si>
  <si>
    <t xml:space="preserve">Default Sonnet. Chunking pos-P0.4 pode multiplicar em obras grandes.</t>
  </si>
  <si>
    <t xml:space="preserve">Total tokens / Custo USD por orcamento</t>
  </si>
  <si>
    <t xml:space="preserve">Custo BRL por orcamento (USD * FX)</t>
  </si>
  <si>
    <t xml:space="preserve">Resumo de custo por orcamento (BRL)</t>
  </si>
  <si>
    <t xml:space="preserve">Tokens totais</t>
  </si>
  <si>
    <t xml:space="preserve">Custo BRL</t>
  </si>
  <si>
    <t xml:space="preserve">Modelos dominantes</t>
  </si>
  <si>
    <t xml:space="preserve">Engenheiro+Orcamentista (Opus)</t>
  </si>
  <si>
    <t xml:space="preserve">Medio (Reforma Vania)</t>
  </si>
  <si>
    <t xml:space="preserve">Grande (Hangar)</t>
  </si>
  <si>
    <t xml:space="preserve">Cenarios de margem por plano e volume</t>
  </si>
  <si>
    <t xml:space="preserve">Plano avulso vs Plano mensal x 3 tamanhos x 3 volumes. Manus = 0 hoje. Pos-migracao usa Premissas!B15.</t>
  </si>
  <si>
    <t xml:space="preserve">Plano avulso (R$ 89,90 por orcamento)</t>
  </si>
  <si>
    <t xml:space="preserve">Item</t>
  </si>
  <si>
    <t xml:space="preserve">Receita bruta</t>
  </si>
  <si>
    <t xml:space="preserve">Stripe fee (variavel + fixo)</t>
  </si>
  <si>
    <t xml:space="preserve">Receita liquida</t>
  </si>
  <si>
    <t xml:space="preserve">Custo LLM por orcamento</t>
  </si>
  <si>
    <t xml:space="preserve">Margem bruta (sem infra)</t>
  </si>
  <si>
    <t xml:space="preserve">Margem bruta %</t>
  </si>
  <si>
    <t xml:space="preserve">Plano mensal (R$ 450/mes para 10 orcamentos = R$ 45/orcamento)</t>
  </si>
  <si>
    <t xml:space="preserve">Receita bruta por orcamento</t>
  </si>
  <si>
    <t xml:space="preserve">Stripe fee alocado por orcamento</t>
  </si>
  <si>
    <t xml:space="preserve">Receita liquida por orcamento</t>
  </si>
  <si>
    <t xml:space="preserve">Margem mensal consolidada — Manus = 0 hoje (Premissas!B14)</t>
  </si>
  <si>
    <t xml:space="preserve">Volume/mes</t>
  </si>
  <si>
    <t xml:space="preserve">Plano</t>
  </si>
  <si>
    <t xml:space="preserve">Receita liq mensal</t>
  </si>
  <si>
    <t xml:space="preserve">Custo LLM mensal</t>
  </si>
  <si>
    <t xml:space="preserve">Custo infra</t>
  </si>
  <si>
    <t xml:space="preserve">Margem mensal R$</t>
  </si>
  <si>
    <t xml:space="preserve">Margem %</t>
  </si>
  <si>
    <t xml:space="preserve">Conservador / Avulso / Pequeno</t>
  </si>
  <si>
    <t xml:space="preserve">avulso</t>
  </si>
  <si>
    <t xml:space="preserve">Conservador / Avulso / Medio</t>
  </si>
  <si>
    <t xml:space="preserve">Conservador / Avulso / Grande</t>
  </si>
  <si>
    <t xml:space="preserve">Conservador / Mensal / Medio</t>
  </si>
  <si>
    <t xml:space="preserve">mensal</t>
  </si>
  <si>
    <t xml:space="preserve">Moderado / Avulso / Medio</t>
  </si>
  <si>
    <t xml:space="preserve">Moderado / Mensal / Medio</t>
  </si>
  <si>
    <t xml:space="preserve">Otimista / Avulso / Medio</t>
  </si>
  <si>
    <t xml:space="preserve">Otimista / Mensal / Medio</t>
  </si>
  <si>
    <t xml:space="preserve">Mesma analise pos-migracao (infra = Premissas!B15)</t>
  </si>
  <si>
    <t xml:space="preserve">Stress test — sensibilidade a choques</t>
  </si>
  <si>
    <t xml:space="preserve">Cenario base: Medio (Reforma Vania), plano avulso. Multiplicadores ajustaveis em azul.</t>
  </si>
  <si>
    <t xml:space="preserve">Multiplicadores de stress (1.0 = base, 2.0 = dobra)</t>
  </si>
  <si>
    <t xml:space="preserve">Multiplicador de tokens (memorial cresce)</t>
  </si>
  <si>
    <t xml:space="preserve">Ex: 1.5 = memorial cresce 50% em itens e tamanho</t>
  </si>
  <si>
    <t xml:space="preserve">Multiplicador de preco LLM (provider sobe preco)</t>
  </si>
  <si>
    <t xml:space="preserve">Ex: 2.0 = Anthropic dobra precos</t>
  </si>
  <si>
    <t xml:space="preserve">Stripe fee variavel (override)</t>
  </si>
  <si>
    <t xml:space="preserve">Ex: 5% se trocar gateway</t>
  </si>
  <si>
    <t xml:space="preserve">Linha base — Medio, avulso (referencia em Cenarios)</t>
  </si>
  <si>
    <t xml:space="preserve">Receita liquida (base)</t>
  </si>
  <si>
    <t xml:space="preserve">Custo LLM (base)</t>
  </si>
  <si>
    <t xml:space="preserve">Margem bruta (base)</t>
  </si>
  <si>
    <t xml:space="preserve">Margem % (base)</t>
  </si>
  <si>
    <t xml:space="preserve">Apos aplicacao dos multiplicadores</t>
  </si>
  <si>
    <t xml:space="preserve">Stripe fee (com override)</t>
  </si>
  <si>
    <t xml:space="preserve">Receita liquida (com override Stripe)</t>
  </si>
  <si>
    <t xml:space="preserve">Custo LLM (com multiplicadores)</t>
  </si>
  <si>
    <t xml:space="preserve">Margem bruta apos stress</t>
  </si>
  <si>
    <t xml:space="preserve">Margem % apos stress</t>
  </si>
  <si>
    <t xml:space="preserve">Variacao da margem (R$)</t>
  </si>
  <si>
    <t xml:space="preserve">Quando a margem do avulso (Medio) fica negativa?</t>
  </si>
  <si>
    <t xml:space="preserve">Variando multiplicador de tokens (preco LLM = base)</t>
  </si>
  <si>
    <t xml:space="preserve">1.0x</t>
  </si>
  <si>
    <t xml:space="preserve">1.5x</t>
  </si>
  <si>
    <t xml:space="preserve">2.0x</t>
  </si>
  <si>
    <t xml:space="preserve">3.0x</t>
  </si>
  <si>
    <t xml:space="preserve">5.0x</t>
  </si>
  <si>
    <t xml:space="preserve">10x</t>
  </si>
  <si>
    <t xml:space="preserve">20x</t>
  </si>
  <si>
    <t xml:space="preserve">Margem bruta (R$)</t>
  </si>
  <si>
    <t xml:space="preserve">Status</t>
  </si>
  <si>
    <t xml:space="preserve">Mesma analise para Grande / avulso</t>
  </si>
  <si>
    <t xml:space="preserve">Observacoes</t>
  </si>
  <si>
    <t xml:space="preserve">1. Numeros baseados em estimativas dos prompts (Fase 2 da analise). Substituir por dados reais quando agent_llm_calls tiver dataset (&gt;= 5 orcamentos rodados).</t>
  </si>
  <si>
    <t xml:space="preserve">2. Margem nao inclui custos de aquisicao (CAC), suporte humano, ou atrasos por revisao manual. Esses entram em modelo P&amp;L mais completo.</t>
  </si>
  <si>
    <t xml:space="preserve">3. Stripe Brasil cobra 3,99% + R$ 0,39 em cartao domestico; Pix tem fee menor. Revisar quando trocar gateway.</t>
  </si>
  <si>
    <t xml:space="preserve">4. Custo de bases SINAPI/PINI hoje e zero (scraping orcamentor.com gratuito). Se PINI scraping pago for ativado (P1.4.1), adicionar linha em Premissas e propagar.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</si>
</sst>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&quot;R$ &quot;#,##0.00;[RED]&quot;(R$ &quot;#,##0.00\);\-"/>
    <numFmt numFmtId="167" formatCode="#,##0;[RED]\(#,##0\);\-"/>
    <numFmt numFmtId="168" formatCode="0.0%;[RED]\(0.0%\);\-"/>
    <numFmt numFmtId="169" formatCode="\$#,##0.0000;[RED]&quot;($&quot;#,##0.0000\);\-"/>
    <numFmt numFmtId="170" formatCode="#,##0"/>
    <numFmt numFmtId="171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5.2</v>
      </c>
      <c r="D5" s="2" t="s">
        <v>4</v>
      </c>
    </row>
    <row r="6" customFormat="false" ht="15" hidden="false" customHeight="false" outlineLevel="0" collapsed="false">
      <c r="A6" s="4" t="s">
        <v>5</v>
      </c>
      <c r="B6" s="6" t="n">
        <v>89.9</v>
      </c>
      <c r="D6" s="2" t="s">
        <v>6</v>
      </c>
    </row>
    <row r="7" customFormat="false" ht="15" hidden="false" customHeight="false" outlineLevel="0" collapsed="false">
      <c r="A7" s="4" t="s">
        <v>7</v>
      </c>
      <c r="B7" s="6" t="n">
        <v>450</v>
      </c>
    </row>
    <row r="8" customFormat="false" ht="15" hidden="false" customHeight="false" outlineLevel="0" collapsed="false">
      <c r="A8" s="4" t="s">
        <v>8</v>
      </c>
      <c r="B8" s="7" t="n">
        <v>10</v>
      </c>
    </row>
    <row r="9" customFormat="false" ht="15" hidden="false" customHeight="false" outlineLevel="0" collapsed="false">
      <c r="A9" s="8" t="s">
        <v>9</v>
      </c>
      <c r="B9" s="9" t="n">
        <f aca="false">B7/B8</f>
        <v>45</v>
      </c>
    </row>
    <row r="10" customFormat="false" ht="15" hidden="false" customHeight="false" outlineLevel="0" collapsed="false">
      <c r="A10" s="4" t="s">
        <v>10</v>
      </c>
      <c r="B10" s="10" t="n">
        <v>0.0399</v>
      </c>
    </row>
    <row r="11" customFormat="false" ht="15" hidden="false" customHeight="false" outlineLevel="0" collapsed="false">
      <c r="A11" s="4" t="s">
        <v>11</v>
      </c>
      <c r="B11" s="6" t="n">
        <v>0.39</v>
      </c>
    </row>
    <row r="13" customFormat="false" ht="15" hidden="false" customHeight="false" outlineLevel="0" collapsed="false">
      <c r="A13" s="3" t="s">
        <v>12</v>
      </c>
      <c r="B13" s="3"/>
      <c r="C13" s="3"/>
      <c r="D13" s="3"/>
    </row>
    <row r="14" customFormat="false" ht="15" hidden="false" customHeight="false" outlineLevel="0" collapsed="false">
      <c r="A14" s="4" t="s">
        <v>13</v>
      </c>
      <c r="B14" s="11" t="n">
        <v>0</v>
      </c>
      <c r="D14" s="2" t="s">
        <v>14</v>
      </c>
    </row>
    <row r="15" customFormat="false" ht="15" hidden="false" customHeight="false" outlineLevel="0" collapsed="false">
      <c r="A15" s="4" t="s">
        <v>15</v>
      </c>
      <c r="B15" s="11" t="n">
        <v>550</v>
      </c>
      <c r="D15" s="2" t="s">
        <v>16</v>
      </c>
    </row>
    <row r="17" customFormat="false" ht="15" hidden="false" customHeight="false" outlineLevel="0" collapsed="false">
      <c r="A17" s="3" t="s">
        <v>17</v>
      </c>
      <c r="B17" s="3"/>
      <c r="C17" s="3"/>
      <c r="D17" s="3"/>
    </row>
    <row r="18" customFormat="false" ht="15" hidden="false" customHeight="false" outlineLevel="0" collapsed="false">
      <c r="A18" s="4" t="s">
        <v>18</v>
      </c>
      <c r="B18" s="7" t="n">
        <v>10</v>
      </c>
      <c r="D18" s="2" t="s">
        <v>19</v>
      </c>
    </row>
    <row r="19" customFormat="false" ht="15" hidden="false" customHeight="false" outlineLevel="0" collapsed="false">
      <c r="A19" s="4" t="s">
        <v>20</v>
      </c>
      <c r="B19" s="7" t="n">
        <v>100</v>
      </c>
      <c r="D19" s="2" t="s">
        <v>21</v>
      </c>
    </row>
    <row r="20" customFormat="false" ht="15" hidden="false" customHeight="false" outlineLevel="0" collapsed="false">
      <c r="A20" s="4" t="s">
        <v>22</v>
      </c>
      <c r="B20" s="7" t="n">
        <v>1000</v>
      </c>
      <c r="D20" s="2" t="s">
        <v>23</v>
      </c>
    </row>
    <row r="22" customFormat="false" ht="15" hidden="false" customHeight="false" outlineLevel="0" collapsed="false">
      <c r="A22" s="3" t="s">
        <v>24</v>
      </c>
      <c r="B22" s="3"/>
      <c r="C22" s="3"/>
      <c r="D22" s="3"/>
    </row>
    <row r="23" customFormat="false" ht="15" hidden="false" customHeight="false" outlineLevel="0" collapsed="false">
      <c r="A23" s="12" t="s">
        <v>25</v>
      </c>
      <c r="B23" s="12" t="s">
        <v>26</v>
      </c>
      <c r="C23" s="12" t="s">
        <v>27</v>
      </c>
      <c r="D23" s="13" t="s">
        <v>28</v>
      </c>
    </row>
    <row r="24" customFormat="false" ht="15" hidden="false" customHeight="false" outlineLevel="0" collapsed="false">
      <c r="A24" s="4" t="s">
        <v>29</v>
      </c>
      <c r="B24" s="14" t="n">
        <v>15</v>
      </c>
      <c r="C24" s="14" t="n">
        <v>75</v>
      </c>
      <c r="D24" s="15" t="s">
        <v>30</v>
      </c>
    </row>
    <row r="25" customFormat="false" ht="15" hidden="false" customHeight="false" outlineLevel="0" collapsed="false">
      <c r="A25" s="4" t="s">
        <v>31</v>
      </c>
      <c r="B25" s="14" t="n">
        <v>3</v>
      </c>
      <c r="C25" s="14" t="n">
        <v>15</v>
      </c>
      <c r="D25" s="15" t="s">
        <v>30</v>
      </c>
    </row>
    <row r="26" customFormat="false" ht="15" hidden="false" customHeight="false" outlineLevel="0" collapsed="false">
      <c r="A26" s="4" t="s">
        <v>32</v>
      </c>
      <c r="B26" s="14" t="n">
        <v>1</v>
      </c>
      <c r="C26" s="14" t="n">
        <v>5</v>
      </c>
      <c r="D26" s="15" t="s">
        <v>30</v>
      </c>
    </row>
    <row r="27" customFormat="false" ht="15" hidden="false" customHeight="false" outlineLevel="0" collapsed="false">
      <c r="A27" s="4" t="s">
        <v>33</v>
      </c>
      <c r="B27" s="14" t="n">
        <v>0.3</v>
      </c>
      <c r="C27" s="14" t="n">
        <v>2.5</v>
      </c>
      <c r="D27" s="15" t="s">
        <v>34</v>
      </c>
    </row>
    <row r="30" customFormat="false" ht="15" hidden="false" customHeight="false" outlineLevel="0" collapsed="false">
      <c r="A30" s="3" t="s">
        <v>35</v>
      </c>
      <c r="B30" s="3"/>
      <c r="C30" s="3"/>
      <c r="D30" s="3"/>
    </row>
    <row r="31" customFormat="false" ht="15" hidden="false" customHeight="false" outlineLevel="0" collapsed="false">
      <c r="A31" s="12" t="s">
        <v>36</v>
      </c>
      <c r="B31" s="12" t="s">
        <v>37</v>
      </c>
      <c r="C31" s="12" t="s">
        <v>38</v>
      </c>
      <c r="D31" s="13" t="s">
        <v>39</v>
      </c>
    </row>
    <row r="32" customFormat="false" ht="15" hidden="false" customHeight="false" outlineLevel="0" collapsed="false">
      <c r="A32" s="4" t="s">
        <v>40</v>
      </c>
      <c r="B32" s="16" t="n">
        <v>5000</v>
      </c>
      <c r="C32" s="7" t="n">
        <v>30</v>
      </c>
      <c r="D32" s="15" t="s">
        <v>41</v>
      </c>
    </row>
    <row r="33" customFormat="false" ht="15" hidden="false" customHeight="false" outlineLevel="0" collapsed="false">
      <c r="A33" s="4" t="s">
        <v>42</v>
      </c>
      <c r="B33" s="16" t="n">
        <v>15000</v>
      </c>
      <c r="C33" s="7" t="n">
        <v>80</v>
      </c>
      <c r="D33" s="15" t="s">
        <v>43</v>
      </c>
    </row>
    <row r="34" customFormat="false" ht="15" hidden="false" customHeight="false" outlineLevel="0" collapsed="false">
      <c r="A34" s="4" t="s">
        <v>44</v>
      </c>
      <c r="B34" s="16" t="n">
        <v>40000</v>
      </c>
      <c r="C34" s="7" t="n">
        <v>250</v>
      </c>
      <c r="D34" s="15" t="s">
        <v>45</v>
      </c>
    </row>
    <row r="36" customFormat="false" ht="15" hidden="false" customHeight="false" outlineLevel="0" collapsed="false">
      <c r="A36" s="3" t="s">
        <v>46</v>
      </c>
      <c r="B36" s="3"/>
      <c r="C36" s="3"/>
      <c r="D36" s="3"/>
    </row>
    <row r="37" customFormat="false" ht="15" hidden="false" customHeight="false" outlineLevel="0" collapsed="false">
      <c r="A37" s="4" t="s">
        <v>47</v>
      </c>
      <c r="B37" s="6" t="n">
        <v>0</v>
      </c>
      <c r="D37" s="2" t="s">
        <v>48</v>
      </c>
    </row>
  </sheetData>
  <mergeCells count="6">
    <mergeCell ref="A4:D4"/>
    <mergeCell ref="A13:D13"/>
    <mergeCell ref="A17:D17"/>
    <mergeCell ref="A22:D22"/>
    <mergeCell ref="A30:D30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12" min="3" style="0" width="1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12" t="s">
        <v>52</v>
      </c>
      <c r="B5" s="12" t="s">
        <v>25</v>
      </c>
      <c r="C5" s="12" t="s">
        <v>40</v>
      </c>
      <c r="D5" s="12"/>
      <c r="E5" s="12"/>
      <c r="F5" s="12" t="s">
        <v>42</v>
      </c>
      <c r="G5" s="12"/>
      <c r="H5" s="12"/>
      <c r="I5" s="12" t="s">
        <v>44</v>
      </c>
      <c r="J5" s="12"/>
      <c r="K5" s="12"/>
      <c r="L5" s="13" t="s">
        <v>53</v>
      </c>
    </row>
    <row r="6" customFormat="false" ht="15" hidden="false" customHeight="false" outlineLevel="0" collapsed="false">
      <c r="A6" s="12"/>
      <c r="B6" s="12"/>
      <c r="C6" s="12" t="s">
        <v>54</v>
      </c>
      <c r="D6" s="12" t="s">
        <v>55</v>
      </c>
      <c r="E6" s="12" t="s">
        <v>56</v>
      </c>
      <c r="F6" s="12" t="s">
        <v>54</v>
      </c>
      <c r="G6" s="12" t="s">
        <v>55</v>
      </c>
      <c r="H6" s="12" t="s">
        <v>56</v>
      </c>
      <c r="I6" s="12" t="s">
        <v>54</v>
      </c>
      <c r="J6" s="12" t="s">
        <v>55</v>
      </c>
      <c r="K6" s="12" t="s">
        <v>56</v>
      </c>
      <c r="L6" s="13"/>
    </row>
    <row r="7" customFormat="false" ht="15" hidden="false" customHeight="false" outlineLevel="0" collapsed="false">
      <c r="A7" s="4" t="s">
        <v>57</v>
      </c>
      <c r="B7" s="17" t="s">
        <v>29</v>
      </c>
      <c r="C7" s="16" t="n">
        <v>9200</v>
      </c>
      <c r="D7" s="16" t="n">
        <v>6000</v>
      </c>
      <c r="E7" s="18" t="n">
        <f aca="false">(C7*Premissas!B24+D7*Premissas!C24)/1000000</f>
        <v>0.588</v>
      </c>
      <c r="F7" s="16" t="n">
        <v>19700</v>
      </c>
      <c r="G7" s="16" t="n">
        <v>14000</v>
      </c>
      <c r="H7" s="18" t="n">
        <f aca="false">(F7*Premissas!B24+G7*Premissas!C24)/1000000</f>
        <v>1.3455</v>
      </c>
      <c r="I7" s="16" t="n">
        <v>45700</v>
      </c>
      <c r="J7" s="16" t="n">
        <v>30000</v>
      </c>
      <c r="K7" s="18" t="n">
        <f aca="false">(I7*Premissas!B24+J7*Premissas!C24)/1000000</f>
        <v>2.9355</v>
      </c>
      <c r="L7" s="15" t="s">
        <v>58</v>
      </c>
    </row>
    <row r="8" customFormat="false" ht="15" hidden="false" customHeight="false" outlineLevel="0" collapsed="false">
      <c r="A8" s="4" t="s">
        <v>59</v>
      </c>
      <c r="B8" s="17" t="s">
        <v>33</v>
      </c>
      <c r="C8" s="16" t="n">
        <v>3900</v>
      </c>
      <c r="D8" s="16" t="n">
        <v>600</v>
      </c>
      <c r="E8" s="18" t="n">
        <f aca="false">(C8*Premissas!B27+D8*Premissas!C27)/1000000</f>
        <v>0.00267</v>
      </c>
      <c r="F8" s="16" t="n">
        <v>7900</v>
      </c>
      <c r="G8" s="16" t="n">
        <v>1200</v>
      </c>
      <c r="H8" s="18" t="n">
        <f aca="false">(F8*Premissas!B27+G8*Premissas!C27)/1000000</f>
        <v>0.00537</v>
      </c>
      <c r="I8" s="16" t="n">
        <v>16400</v>
      </c>
      <c r="J8" s="16" t="n">
        <v>2500</v>
      </c>
      <c r="K8" s="18" t="n">
        <f aca="false">(I8*Premissas!B27+J8*Premissas!C27)/1000000</f>
        <v>0.01117</v>
      </c>
      <c r="L8" s="15" t="s">
        <v>60</v>
      </c>
    </row>
    <row r="9" customFormat="false" ht="15" hidden="false" customHeight="false" outlineLevel="0" collapsed="false">
      <c r="A9" s="4" t="s">
        <v>61</v>
      </c>
      <c r="B9" s="17" t="s">
        <v>29</v>
      </c>
      <c r="C9" s="16" t="n">
        <v>5900</v>
      </c>
      <c r="D9" s="16" t="n">
        <v>7000</v>
      </c>
      <c r="E9" s="18" t="n">
        <f aca="false">(C9*Premissas!B24+D9*Premissas!C24)/1000000</f>
        <v>0.6135</v>
      </c>
      <c r="F9" s="16" t="n">
        <v>15900</v>
      </c>
      <c r="G9" s="16" t="n">
        <v>22000</v>
      </c>
      <c r="H9" s="18" t="n">
        <f aca="false">(F9*Premissas!B24+G9*Premissas!C24)/1000000</f>
        <v>1.8885</v>
      </c>
      <c r="I9" s="16" t="n">
        <v>40900</v>
      </c>
      <c r="J9" s="16" t="n">
        <v>50000</v>
      </c>
      <c r="K9" s="18" t="n">
        <f aca="false">(I9*Premissas!B24+J9*Premissas!C24)/1000000</f>
        <v>4.3635</v>
      </c>
      <c r="L9" s="15" t="s">
        <v>62</v>
      </c>
    </row>
    <row r="10" customFormat="false" ht="15" hidden="false" customHeight="false" outlineLevel="0" collapsed="false">
      <c r="A10" s="4" t="s">
        <v>63</v>
      </c>
      <c r="B10" s="17" t="s">
        <v>31</v>
      </c>
      <c r="C10" s="16" t="n">
        <v>3100</v>
      </c>
      <c r="D10" s="16" t="n">
        <v>800</v>
      </c>
      <c r="E10" s="18" t="n">
        <f aca="false">(C10*Premissas!B25+D10*Premissas!C25)/1000000</f>
        <v>0.0213</v>
      </c>
      <c r="F10" s="16" t="n">
        <v>7600</v>
      </c>
      <c r="G10" s="16" t="n">
        <v>2000</v>
      </c>
      <c r="H10" s="18" t="n">
        <f aca="false">(F10*Premissas!B25+G10*Premissas!C25)/1000000</f>
        <v>0.0528</v>
      </c>
      <c r="I10" s="16" t="n">
        <v>20600</v>
      </c>
      <c r="J10" s="16" t="n">
        <v>5500</v>
      </c>
      <c r="K10" s="18" t="n">
        <f aca="false">(I10*Premissas!B25+J10*Premissas!C25)/1000000</f>
        <v>0.1443</v>
      </c>
      <c r="L10" s="15" t="s">
        <v>64</v>
      </c>
    </row>
    <row r="11" customFormat="false" ht="15" hidden="false" customHeight="false" outlineLevel="0" collapsed="false">
      <c r="A11" s="4" t="s">
        <v>65</v>
      </c>
      <c r="B11" s="17" t="s">
        <v>31</v>
      </c>
      <c r="C11" s="16" t="n">
        <v>0</v>
      </c>
      <c r="D11" s="16" t="n">
        <v>0</v>
      </c>
      <c r="E11" s="18" t="n">
        <f aca="false">(C11*Premissas!B25+D11*Premissas!C25)/1000000</f>
        <v>0</v>
      </c>
      <c r="F11" s="16" t="n">
        <v>0</v>
      </c>
      <c r="G11" s="16" t="n">
        <v>0</v>
      </c>
      <c r="H11" s="18" t="n">
        <f aca="false">(F11*Premissas!B25+G11*Premissas!C25)/1000000</f>
        <v>0</v>
      </c>
      <c r="I11" s="16" t="n">
        <v>0</v>
      </c>
      <c r="J11" s="16" t="n">
        <v>0</v>
      </c>
      <c r="K11" s="18" t="n">
        <f aca="false">(I11*Premissas!B25+J11*Premissas!C25)/1000000</f>
        <v>0</v>
      </c>
      <c r="L11" s="15" t="s">
        <v>66</v>
      </c>
    </row>
    <row r="12" customFormat="false" ht="15" hidden="false" customHeight="false" outlineLevel="0" collapsed="false">
      <c r="A12" s="4" t="s">
        <v>67</v>
      </c>
      <c r="B12" s="17" t="s">
        <v>31</v>
      </c>
      <c r="C12" s="16" t="n">
        <v>4250</v>
      </c>
      <c r="D12" s="16" t="n">
        <v>5000</v>
      </c>
      <c r="E12" s="18" t="n">
        <f aca="false">(C12*Premissas!B25+D12*Premissas!C25)/1000000</f>
        <v>0.08775</v>
      </c>
      <c r="F12" s="16" t="n">
        <v>8750</v>
      </c>
      <c r="G12" s="16" t="n">
        <v>14000</v>
      </c>
      <c r="H12" s="18" t="n">
        <f aca="false">(F12*Premissas!B25+G12*Premissas!C25)/1000000</f>
        <v>0.23625</v>
      </c>
      <c r="I12" s="16" t="n">
        <v>19250</v>
      </c>
      <c r="J12" s="16" t="n">
        <v>28000</v>
      </c>
      <c r="K12" s="18" t="n">
        <f aca="false">(I12*Premissas!B25+J12*Premissas!C25)/1000000</f>
        <v>0.47775</v>
      </c>
      <c r="L12" s="15" t="s">
        <v>68</v>
      </c>
    </row>
    <row r="13" customFormat="false" ht="15" hidden="false" customHeight="false" outlineLevel="0" collapsed="false">
      <c r="A13" s="4" t="s">
        <v>69</v>
      </c>
      <c r="B13" s="17" t="s">
        <v>31</v>
      </c>
      <c r="C13" s="16" t="n">
        <v>0</v>
      </c>
      <c r="D13" s="16" t="n">
        <v>0</v>
      </c>
      <c r="E13" s="18" t="n">
        <f aca="false">(C13*Premissas!B25+D13*Premissas!C25)/1000000</f>
        <v>0</v>
      </c>
      <c r="F13" s="16" t="n">
        <v>0</v>
      </c>
      <c r="G13" s="16" t="n">
        <v>0</v>
      </c>
      <c r="H13" s="18" t="n">
        <f aca="false">(F13*Premissas!B25+G13*Premissas!C25)/1000000</f>
        <v>0</v>
      </c>
      <c r="I13" s="16" t="n">
        <v>0</v>
      </c>
      <c r="J13" s="16" t="n">
        <v>0</v>
      </c>
      <c r="K13" s="18" t="n">
        <f aca="false">(I13*Premissas!B25+J13*Premissas!C25)/1000000</f>
        <v>0</v>
      </c>
      <c r="L13" s="15" t="s">
        <v>66</v>
      </c>
    </row>
    <row r="14" customFormat="false" ht="15" hidden="false" customHeight="false" outlineLevel="0" collapsed="false">
      <c r="A14" s="4" t="s">
        <v>70</v>
      </c>
      <c r="B14" s="17" t="s">
        <v>31</v>
      </c>
      <c r="C14" s="16" t="n">
        <v>550</v>
      </c>
      <c r="D14" s="16" t="n">
        <v>3000</v>
      </c>
      <c r="E14" s="18" t="n">
        <f aca="false">(C14*Premissas!B25+D14*Premissas!C25)/1000000</f>
        <v>0.04665</v>
      </c>
      <c r="F14" s="16" t="n">
        <v>750</v>
      </c>
      <c r="G14" s="16" t="n">
        <v>5000</v>
      </c>
      <c r="H14" s="18" t="n">
        <f aca="false">(F14*Premissas!B25+G14*Premissas!C25)/1000000</f>
        <v>0.07725</v>
      </c>
      <c r="I14" s="16" t="n">
        <v>1050</v>
      </c>
      <c r="J14" s="16" t="n">
        <v>7000</v>
      </c>
      <c r="K14" s="18" t="n">
        <f aca="false">(I14*Premissas!B25+J14*Premissas!C25)/1000000</f>
        <v>0.10815</v>
      </c>
      <c r="L14" s="15" t="s">
        <v>71</v>
      </c>
    </row>
    <row r="15" customFormat="false" ht="15" hidden="false" customHeight="false" outlineLevel="0" collapsed="false">
      <c r="A15" s="4" t="s">
        <v>72</v>
      </c>
      <c r="B15" s="17" t="s">
        <v>31</v>
      </c>
      <c r="C15" s="16" t="n">
        <v>3500</v>
      </c>
      <c r="D15" s="16" t="n">
        <v>2500</v>
      </c>
      <c r="E15" s="18" t="n">
        <f aca="false">(C15*Premissas!B25+D15*Premissas!C25)/1000000</f>
        <v>0.048</v>
      </c>
      <c r="F15" s="16" t="n">
        <v>5000</v>
      </c>
      <c r="G15" s="16" t="n">
        <v>3500</v>
      </c>
      <c r="H15" s="18" t="n">
        <f aca="false">(F15*Premissas!B25+G15*Premissas!C25)/1000000</f>
        <v>0.0675</v>
      </c>
      <c r="I15" s="16" t="n">
        <v>8000</v>
      </c>
      <c r="J15" s="16" t="n">
        <v>5000</v>
      </c>
      <c r="K15" s="18" t="n">
        <f aca="false">(I15*Premissas!B25+J15*Premissas!C25)/1000000</f>
        <v>0.099</v>
      </c>
      <c r="L15" s="15" t="s">
        <v>64</v>
      </c>
    </row>
    <row r="16" customFormat="false" ht="15" hidden="false" customHeight="false" outlineLevel="0" collapsed="false">
      <c r="A16" s="4" t="s">
        <v>73</v>
      </c>
      <c r="B16" s="17" t="s">
        <v>31</v>
      </c>
      <c r="C16" s="16" t="n">
        <v>4500</v>
      </c>
      <c r="D16" s="16" t="n">
        <v>2000</v>
      </c>
      <c r="E16" s="18" t="n">
        <f aca="false">(C16*Premissas!B25+D16*Premissas!C25)/1000000</f>
        <v>0.0435</v>
      </c>
      <c r="F16" s="16" t="n">
        <v>10000</v>
      </c>
      <c r="G16" s="16" t="n">
        <v>3500</v>
      </c>
      <c r="H16" s="18" t="n">
        <f aca="false">(F16*Premissas!B25+G16*Premissas!C25)/1000000</f>
        <v>0.0825</v>
      </c>
      <c r="I16" s="16" t="n">
        <v>15000</v>
      </c>
      <c r="J16" s="16" t="n">
        <v>5500</v>
      </c>
      <c r="K16" s="18" t="n">
        <f aca="false">(I16*Premissas!B25+J16*Premissas!C25)/1000000</f>
        <v>0.1275</v>
      </c>
      <c r="L16" s="15" t="s">
        <v>74</v>
      </c>
    </row>
    <row r="17" customFormat="false" ht="15" hidden="false" customHeight="false" outlineLevel="0" collapsed="false">
      <c r="A17" s="8" t="s">
        <v>75</v>
      </c>
      <c r="B17" s="19"/>
      <c r="C17" s="20" t="n">
        <f aca="false">SUM(C7:C16)</f>
        <v>34900</v>
      </c>
      <c r="D17" s="20" t="n">
        <f aca="false">SUM(D7:D16)</f>
        <v>26900</v>
      </c>
      <c r="E17" s="21" t="n">
        <f aca="false">SUM(E7:E16)</f>
        <v>1.45137</v>
      </c>
      <c r="F17" s="20" t="n">
        <f aca="false">SUM(F7:F16)</f>
        <v>75600</v>
      </c>
      <c r="G17" s="20" t="n">
        <f aca="false">SUM(G7:G16)</f>
        <v>65200</v>
      </c>
      <c r="H17" s="21" t="n">
        <f aca="false">SUM(H7:H16)</f>
        <v>3.75567</v>
      </c>
      <c r="I17" s="20" t="n">
        <f aca="false">SUM(I7:I16)</f>
        <v>166900</v>
      </c>
      <c r="J17" s="20" t="n">
        <f aca="false">SUM(J7:J16)</f>
        <v>133500</v>
      </c>
      <c r="K17" s="21" t="n">
        <f aca="false">SUM(K7:K16)</f>
        <v>8.26687</v>
      </c>
    </row>
    <row r="18" customFormat="false" ht="15" hidden="false" customHeight="false" outlineLevel="0" collapsed="false">
      <c r="A18" s="8" t="s">
        <v>76</v>
      </c>
      <c r="B18" s="22"/>
      <c r="E18" s="23" t="n">
        <f aca="false">E17*Premissas!B5</f>
        <v>7.547124</v>
      </c>
      <c r="H18" s="23" t="n">
        <f aca="false">H17*Premissas!B5</f>
        <v>19.529484</v>
      </c>
      <c r="K18" s="23" t="n">
        <f aca="false">K17*Premissas!B5</f>
        <v>42.987724</v>
      </c>
    </row>
    <row r="20" customFormat="false" ht="15" hidden="false" customHeight="false" outlineLevel="0" collapsed="false">
      <c r="A20" s="3" t="s">
        <v>77</v>
      </c>
      <c r="B20" s="3"/>
      <c r="C20" s="3"/>
      <c r="D20" s="3"/>
      <c r="E20" s="3"/>
    </row>
    <row r="21" customFormat="false" ht="15" hidden="false" customHeight="false" outlineLevel="0" collapsed="false">
      <c r="A21" s="12" t="s">
        <v>36</v>
      </c>
      <c r="B21" s="12" t="s">
        <v>78</v>
      </c>
      <c r="C21" s="12" t="s">
        <v>56</v>
      </c>
      <c r="D21" s="12" t="s">
        <v>79</v>
      </c>
      <c r="E21" s="12" t="s">
        <v>80</v>
      </c>
    </row>
    <row r="22" customFormat="false" ht="15" hidden="false" customHeight="false" outlineLevel="0" collapsed="false">
      <c r="A22" s="4" t="s">
        <v>40</v>
      </c>
      <c r="B22" s="24" t="n">
        <f aca="false">C17+D17</f>
        <v>61800</v>
      </c>
      <c r="C22" s="18" t="n">
        <f aca="false">E17</f>
        <v>1.45137</v>
      </c>
      <c r="D22" s="25" t="n">
        <f aca="false">E18</f>
        <v>7.547124</v>
      </c>
      <c r="E22" s="15" t="s">
        <v>81</v>
      </c>
    </row>
    <row r="23" customFormat="false" ht="15" hidden="false" customHeight="false" outlineLevel="0" collapsed="false">
      <c r="A23" s="4" t="s">
        <v>82</v>
      </c>
      <c r="B23" s="24" t="n">
        <f aca="false">F17+G17</f>
        <v>140800</v>
      </c>
      <c r="C23" s="18" t="n">
        <f aca="false">H17</f>
        <v>3.75567</v>
      </c>
      <c r="D23" s="25" t="n">
        <f aca="false">H18</f>
        <v>19.529484</v>
      </c>
      <c r="E23" s="15" t="s">
        <v>81</v>
      </c>
    </row>
    <row r="24" customFormat="false" ht="15" hidden="false" customHeight="false" outlineLevel="0" collapsed="false">
      <c r="A24" s="4" t="s">
        <v>83</v>
      </c>
      <c r="B24" s="24" t="n">
        <f aca="false">I17+J17</f>
        <v>300400</v>
      </c>
      <c r="C24" s="18" t="n">
        <f aca="false">K17</f>
        <v>8.26687</v>
      </c>
      <c r="D24" s="25" t="n">
        <f aca="false">K18</f>
        <v>42.987724</v>
      </c>
      <c r="E24" s="15" t="s">
        <v>81</v>
      </c>
    </row>
  </sheetData>
  <mergeCells count="8">
    <mergeCell ref="A4:L4"/>
    <mergeCell ref="A5:A6"/>
    <mergeCell ref="B5:B6"/>
    <mergeCell ref="C5:E5"/>
    <mergeCell ref="F5:H5"/>
    <mergeCell ref="I5:K5"/>
    <mergeCell ref="L5:L6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6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3" t="s">
        <v>86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12" t="s">
        <v>87</v>
      </c>
      <c r="B5" s="12" t="s">
        <v>40</v>
      </c>
      <c r="C5" s="12" t="s">
        <v>42</v>
      </c>
      <c r="D5" s="12" t="s">
        <v>44</v>
      </c>
    </row>
    <row r="6" customFormat="false" ht="15" hidden="false" customHeight="false" outlineLevel="0" collapsed="false">
      <c r="A6" s="4" t="s">
        <v>88</v>
      </c>
      <c r="B6" s="26" t="n">
        <f aca="false">Premissas!B6</f>
        <v>89.9</v>
      </c>
      <c r="C6" s="26" t="n">
        <f aca="false">Premissas!B6</f>
        <v>89.9</v>
      </c>
      <c r="D6" s="26" t="n">
        <f aca="false">Premissas!B6</f>
        <v>89.9</v>
      </c>
    </row>
    <row r="7" customFormat="false" ht="15" hidden="false" customHeight="false" outlineLevel="0" collapsed="false">
      <c r="A7" s="4" t="s">
        <v>89</v>
      </c>
      <c r="B7" s="26" t="n">
        <f aca="false">B6*Premissas!B10+Premissas!B11</f>
        <v>3.97701</v>
      </c>
      <c r="C7" s="26" t="n">
        <f aca="false">C6*Premissas!B10+Premissas!B11</f>
        <v>3.97701</v>
      </c>
      <c r="D7" s="26" t="n">
        <f aca="false">D6*Premissas!B10+Premissas!B11</f>
        <v>3.97701</v>
      </c>
    </row>
    <row r="8" customFormat="false" ht="15" hidden="false" customHeight="false" outlineLevel="0" collapsed="false">
      <c r="A8" s="8" t="s">
        <v>90</v>
      </c>
      <c r="B8" s="9" t="n">
        <f aca="false">B6-B7</f>
        <v>85.92299</v>
      </c>
      <c r="C8" s="9" t="n">
        <f aca="false">C6-C7</f>
        <v>85.92299</v>
      </c>
      <c r="D8" s="9" t="n">
        <f aca="false">D6-D7</f>
        <v>85.92299</v>
      </c>
    </row>
    <row r="9" customFormat="false" ht="15" hidden="false" customHeight="false" outlineLevel="0" collapsed="false">
      <c r="A9" s="4" t="s">
        <v>91</v>
      </c>
      <c r="B9" s="26" t="n">
        <f aca="false">Calculo!D22</f>
        <v>7.547124</v>
      </c>
      <c r="C9" s="26" t="n">
        <f aca="false">Calculo!D23</f>
        <v>19.529484</v>
      </c>
      <c r="D9" s="26" t="n">
        <f aca="false">Calculo!D24</f>
        <v>42.987724</v>
      </c>
    </row>
    <row r="10" customFormat="false" ht="15" hidden="false" customHeight="false" outlineLevel="0" collapsed="false">
      <c r="A10" s="8" t="s">
        <v>92</v>
      </c>
      <c r="B10" s="23" t="n">
        <f aca="false">B8-B9</f>
        <v>78.375866</v>
      </c>
      <c r="C10" s="23" t="n">
        <f aca="false">C8-C9</f>
        <v>66.393506</v>
      </c>
      <c r="D10" s="23" t="n">
        <f aca="false">D8-D9</f>
        <v>42.935266</v>
      </c>
    </row>
    <row r="11" customFormat="false" ht="15" hidden="false" customHeight="false" outlineLevel="0" collapsed="false">
      <c r="A11" s="4" t="s">
        <v>93</v>
      </c>
      <c r="B11" s="27" t="n">
        <f aca="false">B10/B6</f>
        <v>0.871811635150167</v>
      </c>
      <c r="C11" s="27" t="n">
        <f aca="false">C10/C6</f>
        <v>0.738526206896552</v>
      </c>
      <c r="D11" s="27" t="n">
        <f aca="false">D10/D6</f>
        <v>0.477589165739711</v>
      </c>
    </row>
    <row r="13" customFormat="false" ht="15" hidden="false" customHeight="false" outlineLevel="0" collapsed="false">
      <c r="A13" s="3" t="s">
        <v>94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12" t="s">
        <v>87</v>
      </c>
      <c r="B14" s="12" t="s">
        <v>40</v>
      </c>
      <c r="C14" s="12" t="s">
        <v>42</v>
      </c>
      <c r="D14" s="12" t="s">
        <v>44</v>
      </c>
    </row>
    <row r="15" customFormat="false" ht="15" hidden="false" customHeight="false" outlineLevel="0" collapsed="false">
      <c r="A15" s="4" t="s">
        <v>95</v>
      </c>
      <c r="B15" s="26" t="n">
        <f aca="false">Premissas!B9</f>
        <v>45</v>
      </c>
      <c r="C15" s="26" t="n">
        <f aca="false">Premissas!B9</f>
        <v>45</v>
      </c>
      <c r="D15" s="26" t="n">
        <f aca="false">Premissas!B9</f>
        <v>45</v>
      </c>
    </row>
    <row r="16" customFormat="false" ht="15" hidden="false" customHeight="false" outlineLevel="0" collapsed="false">
      <c r="A16" s="4" t="s">
        <v>96</v>
      </c>
      <c r="B16" s="26" t="n">
        <f aca="false">(Premissas!B7*Premissas!B10+Premissas!B11)/Premissas!B8</f>
        <v>1.8345</v>
      </c>
      <c r="C16" s="26" t="n">
        <f aca="false">(Premissas!B7*Premissas!B10+Premissas!B11)/Premissas!B8</f>
        <v>1.8345</v>
      </c>
      <c r="D16" s="26" t="n">
        <f aca="false">(Premissas!B7*Premissas!B10+Premissas!B11)/Premissas!B8</f>
        <v>1.8345</v>
      </c>
    </row>
    <row r="17" customFormat="false" ht="15" hidden="false" customHeight="false" outlineLevel="0" collapsed="false">
      <c r="A17" s="8" t="s">
        <v>97</v>
      </c>
      <c r="B17" s="9" t="n">
        <f aca="false">B15-B16</f>
        <v>43.1655</v>
      </c>
      <c r="C17" s="9" t="n">
        <f aca="false">C15-C16</f>
        <v>43.1655</v>
      </c>
      <c r="D17" s="9" t="n">
        <f aca="false">D15-D16</f>
        <v>43.1655</v>
      </c>
    </row>
    <row r="18" customFormat="false" ht="15" hidden="false" customHeight="false" outlineLevel="0" collapsed="false">
      <c r="A18" s="4" t="s">
        <v>91</v>
      </c>
      <c r="B18" s="26" t="n">
        <f aca="false">Calculo!D22</f>
        <v>7.547124</v>
      </c>
      <c r="C18" s="26" t="n">
        <f aca="false">Calculo!D23</f>
        <v>19.529484</v>
      </c>
      <c r="D18" s="26" t="n">
        <f aca="false">Calculo!D24</f>
        <v>42.987724</v>
      </c>
    </row>
    <row r="19" customFormat="false" ht="15" hidden="false" customHeight="false" outlineLevel="0" collapsed="false">
      <c r="A19" s="8" t="s">
        <v>92</v>
      </c>
      <c r="B19" s="23" t="n">
        <f aca="false">B17-B18</f>
        <v>35.618376</v>
      </c>
      <c r="C19" s="23" t="n">
        <f aca="false">C17-C18</f>
        <v>23.636016</v>
      </c>
      <c r="D19" s="23" t="n">
        <f aca="false">D17-D18</f>
        <v>0.177775999999994</v>
      </c>
    </row>
    <row r="20" customFormat="false" ht="15" hidden="false" customHeight="false" outlineLevel="0" collapsed="false">
      <c r="A20" s="4" t="s">
        <v>93</v>
      </c>
      <c r="B20" s="27" t="n">
        <f aca="false">B19/B15</f>
        <v>0.791519466666667</v>
      </c>
      <c r="C20" s="27" t="n">
        <f aca="false">C19/C15</f>
        <v>0.5252448</v>
      </c>
      <c r="D20" s="27" t="n">
        <f aca="false">D19/D15</f>
        <v>0.00395057777777765</v>
      </c>
    </row>
    <row r="22" customFormat="false" ht="15" hidden="false" customHeight="false" outlineLevel="0" collapsed="false">
      <c r="A22" s="3" t="s">
        <v>98</v>
      </c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A23" s="12" t="s">
        <v>36</v>
      </c>
      <c r="B23" s="12" t="s">
        <v>99</v>
      </c>
      <c r="C23" s="12" t="s">
        <v>100</v>
      </c>
      <c r="D23" s="12" t="s">
        <v>101</v>
      </c>
      <c r="E23" s="12" t="s">
        <v>102</v>
      </c>
      <c r="F23" s="12" t="s">
        <v>103</v>
      </c>
      <c r="G23" s="12" t="s">
        <v>104</v>
      </c>
      <c r="H23" s="12" t="s">
        <v>105</v>
      </c>
    </row>
    <row r="24" customFormat="false" ht="15" hidden="false" customHeight="false" outlineLevel="0" collapsed="false">
      <c r="A24" s="4" t="s">
        <v>106</v>
      </c>
      <c r="B24" s="28" t="n">
        <f aca="false">Premissas!B18</f>
        <v>10</v>
      </c>
      <c r="C24" s="17" t="s">
        <v>107</v>
      </c>
      <c r="D24" s="26" t="n">
        <f aca="false">B8*Premissas!B18</f>
        <v>859.2299</v>
      </c>
      <c r="E24" s="26" t="n">
        <f aca="false">B9*Premissas!B18</f>
        <v>75.47124</v>
      </c>
      <c r="F24" s="26" t="n">
        <f aca="false">Premissas!B14</f>
        <v>0</v>
      </c>
      <c r="G24" s="23" t="n">
        <f aca="false">D24-E24-F24</f>
        <v>783.75866</v>
      </c>
      <c r="H24" s="27" t="n">
        <f aca="false">IFERROR(G24/D24,0)</f>
        <v>0.912164090192858</v>
      </c>
    </row>
    <row r="25" customFormat="false" ht="15" hidden="false" customHeight="false" outlineLevel="0" collapsed="false">
      <c r="A25" s="4" t="s">
        <v>108</v>
      </c>
      <c r="B25" s="28" t="n">
        <f aca="false">Premissas!B18</f>
        <v>10</v>
      </c>
      <c r="C25" s="17" t="s">
        <v>107</v>
      </c>
      <c r="D25" s="26" t="n">
        <f aca="false">C8*Premissas!B18</f>
        <v>859.2299</v>
      </c>
      <c r="E25" s="26" t="n">
        <f aca="false">C9*Premissas!B18</f>
        <v>195.29484</v>
      </c>
      <c r="F25" s="26" t="n">
        <f aca="false">Premissas!B14</f>
        <v>0</v>
      </c>
      <c r="G25" s="23" t="n">
        <f aca="false">D25-E25-F25</f>
        <v>663.93506</v>
      </c>
      <c r="H25" s="27" t="n">
        <f aca="false">IFERROR(G25/D25,0)</f>
        <v>0.772709445981803</v>
      </c>
    </row>
    <row r="26" customFormat="false" ht="15" hidden="false" customHeight="false" outlineLevel="0" collapsed="false">
      <c r="A26" s="4" t="s">
        <v>109</v>
      </c>
      <c r="B26" s="28" t="n">
        <f aca="false">Premissas!B18</f>
        <v>10</v>
      </c>
      <c r="C26" s="17" t="s">
        <v>107</v>
      </c>
      <c r="D26" s="26" t="n">
        <f aca="false">D8*Premissas!B18</f>
        <v>859.2299</v>
      </c>
      <c r="E26" s="26" t="n">
        <f aca="false">D9*Premissas!B18</f>
        <v>429.87724</v>
      </c>
      <c r="F26" s="26" t="n">
        <f aca="false">Premissas!B14</f>
        <v>0</v>
      </c>
      <c r="G26" s="23" t="n">
        <f aca="false">D26-E26-F26</f>
        <v>429.35266</v>
      </c>
      <c r="H26" s="27" t="n">
        <f aca="false">IFERROR(G26/D26,0)</f>
        <v>0.499694738276682</v>
      </c>
    </row>
    <row r="27" customFormat="false" ht="15" hidden="false" customHeight="false" outlineLevel="0" collapsed="false">
      <c r="A27" s="4" t="s">
        <v>110</v>
      </c>
      <c r="B27" s="28" t="n">
        <f aca="false">Premissas!B18</f>
        <v>10</v>
      </c>
      <c r="C27" s="17" t="s">
        <v>111</v>
      </c>
      <c r="D27" s="26" t="n">
        <f aca="false">C17*Premissas!B18</f>
        <v>431.655</v>
      </c>
      <c r="E27" s="26" t="n">
        <f aca="false">C18*Premissas!B18</f>
        <v>195.29484</v>
      </c>
      <c r="F27" s="26" t="n">
        <f aca="false">Premissas!B14</f>
        <v>0</v>
      </c>
      <c r="G27" s="23" t="n">
        <f aca="false">D27-E27-F27</f>
        <v>236.36016</v>
      </c>
      <c r="H27" s="27" t="n">
        <f aca="false">IFERROR(G27/D27,0)</f>
        <v>0.54756729332453</v>
      </c>
    </row>
    <row r="28" customFormat="false" ht="15" hidden="false" customHeight="false" outlineLevel="0" collapsed="false">
      <c r="A28" s="4" t="s">
        <v>112</v>
      </c>
      <c r="B28" s="28" t="n">
        <f aca="false">Premissas!B19</f>
        <v>100</v>
      </c>
      <c r="C28" s="17" t="s">
        <v>107</v>
      </c>
      <c r="D28" s="26" t="n">
        <f aca="false">C8*Premissas!B19</f>
        <v>8592.299</v>
      </c>
      <c r="E28" s="26" t="n">
        <f aca="false">C9*Premissas!B19</f>
        <v>1952.9484</v>
      </c>
      <c r="F28" s="26" t="n">
        <f aca="false">Premissas!B14</f>
        <v>0</v>
      </c>
      <c r="G28" s="23" t="n">
        <f aca="false">D28-E28-F28</f>
        <v>6639.3506</v>
      </c>
      <c r="H28" s="27" t="n">
        <f aca="false">IFERROR(G28/D28,0)</f>
        <v>0.772709445981803</v>
      </c>
    </row>
    <row r="29" customFormat="false" ht="15" hidden="false" customHeight="false" outlineLevel="0" collapsed="false">
      <c r="A29" s="4" t="s">
        <v>113</v>
      </c>
      <c r="B29" s="28" t="n">
        <f aca="false">Premissas!B19</f>
        <v>100</v>
      </c>
      <c r="C29" s="17" t="s">
        <v>111</v>
      </c>
      <c r="D29" s="26" t="n">
        <f aca="false">C17*Premissas!B19</f>
        <v>4316.55</v>
      </c>
      <c r="E29" s="26" t="n">
        <f aca="false">C18*Premissas!B19</f>
        <v>1952.9484</v>
      </c>
      <c r="F29" s="26" t="n">
        <f aca="false">Premissas!B14</f>
        <v>0</v>
      </c>
      <c r="G29" s="23" t="n">
        <f aca="false">D29-E29-F29</f>
        <v>2363.6016</v>
      </c>
      <c r="H29" s="27" t="n">
        <f aca="false">IFERROR(G29/D29,0)</f>
        <v>0.54756729332453</v>
      </c>
    </row>
    <row r="30" customFormat="false" ht="15" hidden="false" customHeight="false" outlineLevel="0" collapsed="false">
      <c r="A30" s="4" t="s">
        <v>114</v>
      </c>
      <c r="B30" s="28" t="n">
        <f aca="false">Premissas!B20</f>
        <v>1000</v>
      </c>
      <c r="C30" s="17" t="s">
        <v>107</v>
      </c>
      <c r="D30" s="26" t="n">
        <f aca="false">C8*Premissas!B20</f>
        <v>85922.99</v>
      </c>
      <c r="E30" s="26" t="n">
        <f aca="false">C9*Premissas!B20</f>
        <v>19529.484</v>
      </c>
      <c r="F30" s="26" t="n">
        <f aca="false">Premissas!B14</f>
        <v>0</v>
      </c>
      <c r="G30" s="23" t="n">
        <f aca="false">D30-E30-F30</f>
        <v>66393.506</v>
      </c>
      <c r="H30" s="27" t="n">
        <f aca="false">IFERROR(G30/D30,0)</f>
        <v>0.772709445981803</v>
      </c>
    </row>
    <row r="31" customFormat="false" ht="15" hidden="false" customHeight="false" outlineLevel="0" collapsed="false">
      <c r="A31" s="4" t="s">
        <v>115</v>
      </c>
      <c r="B31" s="28" t="n">
        <f aca="false">Premissas!B20</f>
        <v>1000</v>
      </c>
      <c r="C31" s="17" t="s">
        <v>111</v>
      </c>
      <c r="D31" s="26" t="n">
        <f aca="false">C17*Premissas!B20</f>
        <v>43165.5</v>
      </c>
      <c r="E31" s="26" t="n">
        <f aca="false">C18*Premissas!B20</f>
        <v>19529.484</v>
      </c>
      <c r="F31" s="26" t="n">
        <f aca="false">Premissas!B14</f>
        <v>0</v>
      </c>
      <c r="G31" s="23" t="n">
        <f aca="false">D31-E31-F31</f>
        <v>23636.016</v>
      </c>
      <c r="H31" s="27" t="n">
        <f aca="false">IFERROR(G31/D31,0)</f>
        <v>0.54756729332453</v>
      </c>
    </row>
    <row r="33" customFormat="false" ht="15" hidden="false" customHeight="false" outlineLevel="0" collapsed="false">
      <c r="A33" s="3" t="s">
        <v>116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false" outlineLevel="0" collapsed="false">
      <c r="A34" s="12" t="s">
        <v>36</v>
      </c>
      <c r="B34" s="12" t="s">
        <v>99</v>
      </c>
      <c r="C34" s="12" t="s">
        <v>100</v>
      </c>
      <c r="D34" s="12" t="s">
        <v>101</v>
      </c>
      <c r="E34" s="12" t="s">
        <v>102</v>
      </c>
      <c r="F34" s="12" t="s">
        <v>103</v>
      </c>
      <c r="G34" s="12" t="s">
        <v>104</v>
      </c>
      <c r="H34" s="12" t="s">
        <v>105</v>
      </c>
    </row>
    <row r="35" customFormat="false" ht="15" hidden="false" customHeight="false" outlineLevel="0" collapsed="false">
      <c r="A35" s="4" t="s">
        <v>106</v>
      </c>
      <c r="B35" s="28" t="n">
        <f aca="false">Premissas!B18</f>
        <v>10</v>
      </c>
      <c r="C35" s="17" t="s">
        <v>107</v>
      </c>
      <c r="D35" s="26" t="n">
        <f aca="false">B8*Premissas!B18</f>
        <v>859.2299</v>
      </c>
      <c r="E35" s="26" t="n">
        <f aca="false">B9*Premissas!B18</f>
        <v>75.47124</v>
      </c>
      <c r="F35" s="26" t="n">
        <f aca="false">Premissas!B15</f>
        <v>550</v>
      </c>
      <c r="G35" s="23" t="n">
        <f aca="false">D35-E35-F35</f>
        <v>233.75866</v>
      </c>
      <c r="H35" s="27" t="n">
        <f aca="false">IFERROR(G35/D35,0)</f>
        <v>0.272056012017273</v>
      </c>
    </row>
    <row r="36" customFormat="false" ht="15" hidden="false" customHeight="false" outlineLevel="0" collapsed="false">
      <c r="A36" s="4" t="s">
        <v>108</v>
      </c>
      <c r="B36" s="28" t="n">
        <f aca="false">Premissas!B18</f>
        <v>10</v>
      </c>
      <c r="C36" s="17" t="s">
        <v>107</v>
      </c>
      <c r="D36" s="26" t="n">
        <f aca="false">C8*Premissas!B18</f>
        <v>859.2299</v>
      </c>
      <c r="E36" s="26" t="n">
        <f aca="false">C9*Premissas!B18</f>
        <v>195.29484</v>
      </c>
      <c r="F36" s="26" t="n">
        <f aca="false">Premissas!B15</f>
        <v>550</v>
      </c>
      <c r="G36" s="23" t="n">
        <f aca="false">D36-E36-F36</f>
        <v>113.93506</v>
      </c>
      <c r="H36" s="27" t="n">
        <f aca="false">IFERROR(G36/D36,0)</f>
        <v>0.132601367806218</v>
      </c>
    </row>
    <row r="37" customFormat="false" ht="15" hidden="false" customHeight="false" outlineLevel="0" collapsed="false">
      <c r="A37" s="4" t="s">
        <v>109</v>
      </c>
      <c r="B37" s="28" t="n">
        <f aca="false">Premissas!B18</f>
        <v>10</v>
      </c>
      <c r="C37" s="17" t="s">
        <v>107</v>
      </c>
      <c r="D37" s="26" t="n">
        <f aca="false">D8*Premissas!B18</f>
        <v>859.2299</v>
      </c>
      <c r="E37" s="26" t="n">
        <f aca="false">D9*Premissas!B18</f>
        <v>429.87724</v>
      </c>
      <c r="F37" s="26" t="n">
        <f aca="false">Premissas!B15</f>
        <v>550</v>
      </c>
      <c r="G37" s="23" t="n">
        <f aca="false">D37-E37-F37</f>
        <v>-120.64734</v>
      </c>
      <c r="H37" s="27" t="n">
        <f aca="false">IFERROR(G37/D37,0)</f>
        <v>-0.140413339898903</v>
      </c>
    </row>
    <row r="38" customFormat="false" ht="15" hidden="false" customHeight="false" outlineLevel="0" collapsed="false">
      <c r="A38" s="4" t="s">
        <v>110</v>
      </c>
      <c r="B38" s="28" t="n">
        <f aca="false">Premissas!B18</f>
        <v>10</v>
      </c>
      <c r="C38" s="17" t="s">
        <v>111</v>
      </c>
      <c r="D38" s="26" t="n">
        <f aca="false">C17*Premissas!B18</f>
        <v>431.655</v>
      </c>
      <c r="E38" s="26" t="n">
        <f aca="false">C18*Premissas!B18</f>
        <v>195.29484</v>
      </c>
      <c r="F38" s="26" t="n">
        <f aca="false">Premissas!B15</f>
        <v>550</v>
      </c>
      <c r="G38" s="23" t="n">
        <f aca="false">D38-E38-F38</f>
        <v>-313.63984</v>
      </c>
      <c r="H38" s="27" t="n">
        <f aca="false">IFERROR(G38/D38,0)</f>
        <v>-0.726598417717853</v>
      </c>
    </row>
    <row r="39" customFormat="false" ht="15" hidden="false" customHeight="false" outlineLevel="0" collapsed="false">
      <c r="A39" s="4" t="s">
        <v>112</v>
      </c>
      <c r="B39" s="28" t="n">
        <f aca="false">Premissas!B19</f>
        <v>100</v>
      </c>
      <c r="C39" s="17" t="s">
        <v>107</v>
      </c>
      <c r="D39" s="26" t="n">
        <f aca="false">C8*Premissas!B19</f>
        <v>8592.299</v>
      </c>
      <c r="E39" s="26" t="n">
        <f aca="false">C9*Premissas!B19</f>
        <v>1952.9484</v>
      </c>
      <c r="F39" s="26" t="n">
        <f aca="false">Premissas!B15</f>
        <v>550</v>
      </c>
      <c r="G39" s="23" t="n">
        <f aca="false">D39-E39-F39</f>
        <v>6089.3506</v>
      </c>
      <c r="H39" s="27" t="n">
        <f aca="false">IFERROR(G39/D39,0)</f>
        <v>0.708698638164245</v>
      </c>
    </row>
    <row r="40" customFormat="false" ht="15" hidden="false" customHeight="false" outlineLevel="0" collapsed="false">
      <c r="A40" s="4" t="s">
        <v>113</v>
      </c>
      <c r="B40" s="28" t="n">
        <f aca="false">Premissas!B19</f>
        <v>100</v>
      </c>
      <c r="C40" s="17" t="s">
        <v>111</v>
      </c>
      <c r="D40" s="26" t="n">
        <f aca="false">C17*Premissas!B19</f>
        <v>4316.55</v>
      </c>
      <c r="E40" s="26" t="n">
        <f aca="false">C18*Premissas!B19</f>
        <v>1952.9484</v>
      </c>
      <c r="F40" s="26" t="n">
        <f aca="false">Premissas!B15</f>
        <v>550</v>
      </c>
      <c r="G40" s="23" t="n">
        <f aca="false">D40-E40-F40</f>
        <v>1813.6016</v>
      </c>
      <c r="H40" s="27" t="n">
        <f aca="false">IFERROR(G40/D40,0)</f>
        <v>0.420150722220292</v>
      </c>
    </row>
    <row r="41" customFormat="false" ht="15" hidden="false" customHeight="false" outlineLevel="0" collapsed="false">
      <c r="A41" s="4" t="s">
        <v>114</v>
      </c>
      <c r="B41" s="28" t="n">
        <f aca="false">Premissas!B20</f>
        <v>1000</v>
      </c>
      <c r="C41" s="17" t="s">
        <v>107</v>
      </c>
      <c r="D41" s="26" t="n">
        <f aca="false">C8*Premissas!B20</f>
        <v>85922.99</v>
      </c>
      <c r="E41" s="26" t="n">
        <f aca="false">C9*Premissas!B20</f>
        <v>19529.484</v>
      </c>
      <c r="F41" s="26" t="n">
        <f aca="false">Premissas!B15</f>
        <v>550</v>
      </c>
      <c r="G41" s="23" t="n">
        <f aca="false">D41-E41-F41</f>
        <v>65843.506</v>
      </c>
      <c r="H41" s="27" t="n">
        <f aca="false">IFERROR(G41/D41,0)</f>
        <v>0.766308365200047</v>
      </c>
    </row>
    <row r="42" customFormat="false" ht="15" hidden="false" customHeight="false" outlineLevel="0" collapsed="false">
      <c r="A42" s="4" t="s">
        <v>115</v>
      </c>
      <c r="B42" s="28" t="n">
        <f aca="false">Premissas!B20</f>
        <v>1000</v>
      </c>
      <c r="C42" s="17" t="s">
        <v>111</v>
      </c>
      <c r="D42" s="26" t="n">
        <f aca="false">C17*Premissas!B20</f>
        <v>43165.5</v>
      </c>
      <c r="E42" s="26" t="n">
        <f aca="false">C18*Premissas!B20</f>
        <v>19529.484</v>
      </c>
      <c r="F42" s="26" t="n">
        <f aca="false">Premissas!B15</f>
        <v>550</v>
      </c>
      <c r="G42" s="23" t="n">
        <f aca="false">D42-E42-F42</f>
        <v>23086.016</v>
      </c>
      <c r="H42" s="27" t="n">
        <f aca="false">IFERROR(G42/D42,0)</f>
        <v>0.534825636214106</v>
      </c>
    </row>
  </sheetData>
  <mergeCells count="4">
    <mergeCell ref="A4:J4"/>
    <mergeCell ref="A13:J13"/>
    <mergeCell ref="A22:J22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6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119</v>
      </c>
      <c r="B4" s="3"/>
      <c r="C4" s="3"/>
      <c r="D4" s="3"/>
    </row>
    <row r="5" customFormat="false" ht="15" hidden="false" customHeight="false" outlineLevel="0" collapsed="false">
      <c r="A5" s="4" t="s">
        <v>120</v>
      </c>
      <c r="B5" s="29" t="n">
        <v>1.5</v>
      </c>
      <c r="D5" s="2" t="s">
        <v>121</v>
      </c>
    </row>
    <row r="6" customFormat="false" ht="15" hidden="false" customHeight="false" outlineLevel="0" collapsed="false">
      <c r="A6" s="4" t="s">
        <v>122</v>
      </c>
      <c r="B6" s="29" t="n">
        <v>1</v>
      </c>
      <c r="D6" s="2" t="s">
        <v>123</v>
      </c>
    </row>
    <row r="7" customFormat="false" ht="15" hidden="false" customHeight="false" outlineLevel="0" collapsed="false">
      <c r="A7" s="4" t="s">
        <v>124</v>
      </c>
      <c r="B7" s="30" t="n">
        <v>0.05</v>
      </c>
      <c r="D7" s="2" t="s">
        <v>125</v>
      </c>
    </row>
    <row r="9" customFormat="false" ht="15" hidden="false" customHeight="false" outlineLevel="0" collapsed="false">
      <c r="A9" s="3" t="s">
        <v>126</v>
      </c>
      <c r="B9" s="3"/>
      <c r="C9" s="3"/>
      <c r="D9" s="3"/>
    </row>
    <row r="10" customFormat="false" ht="15" hidden="false" customHeight="false" outlineLevel="0" collapsed="false">
      <c r="A10" s="4" t="s">
        <v>88</v>
      </c>
      <c r="B10" s="26" t="n">
        <f aca="false">Premissas!B6</f>
        <v>89.9</v>
      </c>
    </row>
    <row r="11" customFormat="false" ht="15" hidden="false" customHeight="false" outlineLevel="0" collapsed="false">
      <c r="A11" s="4" t="s">
        <v>127</v>
      </c>
      <c r="B11" s="26" t="n">
        <f aca="false">Cenarios!C8</f>
        <v>85.92299</v>
      </c>
    </row>
    <row r="12" customFormat="false" ht="15" hidden="false" customHeight="false" outlineLevel="0" collapsed="false">
      <c r="A12" s="4" t="s">
        <v>128</v>
      </c>
      <c r="B12" s="26" t="n">
        <f aca="false">Cenarios!C9</f>
        <v>19.529484</v>
      </c>
    </row>
    <row r="13" customFormat="false" ht="15" hidden="false" customHeight="false" outlineLevel="0" collapsed="false">
      <c r="A13" s="8" t="s">
        <v>129</v>
      </c>
      <c r="B13" s="9" t="n">
        <f aca="false">Cenarios!C10</f>
        <v>66.393506</v>
      </c>
    </row>
    <row r="14" customFormat="false" ht="15" hidden="false" customHeight="false" outlineLevel="0" collapsed="false">
      <c r="A14" s="4" t="s">
        <v>130</v>
      </c>
      <c r="B14" s="27" t="n">
        <f aca="false">Cenarios!C11</f>
        <v>0.738526206896552</v>
      </c>
    </row>
    <row r="16" customFormat="false" ht="15" hidden="false" customHeight="false" outlineLevel="0" collapsed="false">
      <c r="A16" s="3" t="s">
        <v>131</v>
      </c>
      <c r="B16" s="3"/>
      <c r="C16" s="3"/>
      <c r="D16" s="3"/>
    </row>
    <row r="17" customFormat="false" ht="15" hidden="false" customHeight="false" outlineLevel="0" collapsed="false">
      <c r="A17" s="4" t="s">
        <v>88</v>
      </c>
      <c r="B17" s="26" t="n">
        <f aca="false">B10</f>
        <v>89.9</v>
      </c>
    </row>
    <row r="18" customFormat="false" ht="15" hidden="false" customHeight="false" outlineLevel="0" collapsed="false">
      <c r="A18" s="4" t="s">
        <v>132</v>
      </c>
      <c r="B18" s="26" t="n">
        <f aca="false">B17*B7+Premissas!B11</f>
        <v>4.885</v>
      </c>
    </row>
    <row r="19" customFormat="false" ht="15" hidden="false" customHeight="false" outlineLevel="0" collapsed="false">
      <c r="A19" s="8" t="s">
        <v>133</v>
      </c>
      <c r="B19" s="25" t="n">
        <f aca="false">B17-B18</f>
        <v>85.015</v>
      </c>
    </row>
    <row r="20" customFormat="false" ht="15" hidden="false" customHeight="false" outlineLevel="0" collapsed="false">
      <c r="A20" s="8" t="s">
        <v>134</v>
      </c>
      <c r="B20" s="25" t="n">
        <f aca="false">B12*B5*B6</f>
        <v>29.294226</v>
      </c>
    </row>
    <row r="21" customFormat="false" ht="15" hidden="false" customHeight="false" outlineLevel="0" collapsed="false">
      <c r="A21" s="8" t="s">
        <v>135</v>
      </c>
      <c r="B21" s="23" t="n">
        <f aca="false">B19-B20</f>
        <v>55.720774</v>
      </c>
    </row>
    <row r="22" customFormat="false" ht="15" hidden="false" customHeight="false" outlineLevel="0" collapsed="false">
      <c r="A22" s="4" t="s">
        <v>136</v>
      </c>
      <c r="B22" s="27" t="n">
        <f aca="false">B21/B17</f>
        <v>0.619808387096774</v>
      </c>
    </row>
    <row r="23" customFormat="false" ht="15" hidden="false" customHeight="false" outlineLevel="0" collapsed="false">
      <c r="A23" s="4" t="s">
        <v>137</v>
      </c>
      <c r="B23" s="26" t="n">
        <f aca="false">B21-B13</f>
        <v>-10.672732</v>
      </c>
    </row>
    <row r="25" customFormat="false" ht="15" hidden="false" customHeight="false" outlineLevel="0" collapsed="false">
      <c r="A25" s="3" t="s">
        <v>138</v>
      </c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4" t="s">
        <v>139</v>
      </c>
    </row>
    <row r="27" customFormat="false" ht="15" hidden="false" customHeight="false" outlineLevel="0" collapsed="false">
      <c r="B27" s="12" t="s">
        <v>140</v>
      </c>
      <c r="C27" s="12" t="s">
        <v>141</v>
      </c>
      <c r="D27" s="12" t="s">
        <v>142</v>
      </c>
      <c r="E27" s="12" t="s">
        <v>143</v>
      </c>
      <c r="F27" s="12" t="s">
        <v>144</v>
      </c>
      <c r="G27" s="12" t="s">
        <v>145</v>
      </c>
      <c r="H27" s="12" t="s">
        <v>146</v>
      </c>
    </row>
    <row r="28" customFormat="false" ht="15" hidden="false" customHeight="false" outlineLevel="0" collapsed="false">
      <c r="A28" s="4" t="s">
        <v>147</v>
      </c>
      <c r="B28" s="23" t="n">
        <f aca="false">Cenarios!C8-Cenarios!C9*1</f>
        <v>66.393506</v>
      </c>
      <c r="C28" s="23" t="n">
        <f aca="false">Cenarios!C8-Cenarios!C9*1.5</f>
        <v>56.628764</v>
      </c>
      <c r="D28" s="23" t="n">
        <f aca="false">Cenarios!C8-Cenarios!C9*2</f>
        <v>46.864022</v>
      </c>
      <c r="E28" s="23" t="n">
        <f aca="false">Cenarios!C8-Cenarios!C9*3</f>
        <v>27.334538</v>
      </c>
      <c r="F28" s="23" t="n">
        <f aca="false">Cenarios!C8-Cenarios!C9*5</f>
        <v>-11.72443</v>
      </c>
      <c r="G28" s="23" t="n">
        <f aca="false">Cenarios!C8-Cenarios!C9*10</f>
        <v>-109.37185</v>
      </c>
      <c r="H28" s="23" t="n">
        <f aca="false">Cenarios!C8-Cenarios!C9*20</f>
        <v>-304.66669</v>
      </c>
    </row>
    <row r="29" customFormat="false" ht="15" hidden="false" customHeight="false" outlineLevel="0" collapsed="false">
      <c r="A29" s="4" t="s">
        <v>105</v>
      </c>
      <c r="B29" s="27" t="n">
        <f aca="false">(Cenarios!C8-Cenarios!C9*1)/Premissas!B6</f>
        <v>0.738526206896552</v>
      </c>
      <c r="C29" s="27" t="n">
        <f aca="false">(Cenarios!C8-Cenarios!C9*1.5)/Premissas!B6</f>
        <v>0.629908387096774</v>
      </c>
      <c r="D29" s="27" t="n">
        <f aca="false">(Cenarios!C8-Cenarios!C9*2)/Premissas!B6</f>
        <v>0.521290567296997</v>
      </c>
      <c r="E29" s="27" t="n">
        <f aca="false">(Cenarios!C8-Cenarios!C9*3)/Premissas!B6</f>
        <v>0.304054927697442</v>
      </c>
      <c r="F29" s="27" t="n">
        <f aca="false">(Cenarios!C8-Cenarios!C9*5)/Premissas!B6</f>
        <v>-0.130416351501669</v>
      </c>
      <c r="G29" s="27" t="n">
        <f aca="false">(Cenarios!C8-Cenarios!C9*10)/Premissas!B6</f>
        <v>-1.21659454949944</v>
      </c>
      <c r="H29" s="27" t="n">
        <f aca="false">(Cenarios!C8-Cenarios!C9*20)/Premissas!B6</f>
        <v>-3.38895094549499</v>
      </c>
    </row>
    <row r="30" customFormat="false" ht="15" hidden="false" customHeight="false" outlineLevel="0" collapsed="false">
      <c r="A30" s="4" t="s">
        <v>148</v>
      </c>
      <c r="B30" s="31" t="str">
        <f aca="false">IF((Cenarios!C8-Cenarios!C9*1)&gt;0,"OK","NEGATIVA")</f>
        <v>OK</v>
      </c>
      <c r="C30" s="31" t="str">
        <f aca="false">IF((Cenarios!C8-Cenarios!C9*1.5)&gt;0,"OK","NEGATIVA")</f>
        <v>OK</v>
      </c>
      <c r="D30" s="31" t="str">
        <f aca="false">IF((Cenarios!C8-Cenarios!C9*2)&gt;0,"OK","NEGATIVA")</f>
        <v>OK</v>
      </c>
      <c r="E30" s="31" t="str">
        <f aca="false">IF((Cenarios!C8-Cenarios!C9*3)&gt;0,"OK","NEGATIVA")</f>
        <v>OK</v>
      </c>
      <c r="F30" s="31" t="str">
        <f aca="false">IF((Cenarios!C8-Cenarios!C9*5)&gt;0,"OK","NEGATIVA")</f>
        <v>NEGATIVA</v>
      </c>
      <c r="G30" s="31" t="str">
        <f aca="false">IF((Cenarios!C8-Cenarios!C9*10)&gt;0,"OK","NEGATIVA")</f>
        <v>NEGATIVA</v>
      </c>
      <c r="H30" s="31" t="str">
        <f aca="false">IF((Cenarios!C8-Cenarios!C9*20)&gt;0,"OK","NEGATIVA")</f>
        <v>NEGATIVA</v>
      </c>
    </row>
    <row r="32" customFormat="false" ht="15" hidden="false" customHeight="false" outlineLevel="0" collapsed="false">
      <c r="A32" s="3" t="s">
        <v>149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B33" s="12" t="s">
        <v>140</v>
      </c>
      <c r="C33" s="12" t="s">
        <v>141</v>
      </c>
      <c r="D33" s="12" t="s">
        <v>142</v>
      </c>
      <c r="E33" s="12" t="s">
        <v>143</v>
      </c>
      <c r="F33" s="12" t="s">
        <v>144</v>
      </c>
      <c r="G33" s="12" t="s">
        <v>145</v>
      </c>
      <c r="H33" s="12" t="s">
        <v>146</v>
      </c>
    </row>
    <row r="34" customFormat="false" ht="15" hidden="false" customHeight="false" outlineLevel="0" collapsed="false">
      <c r="A34" s="4" t="s">
        <v>147</v>
      </c>
      <c r="B34" s="23" t="n">
        <f aca="false">Cenarios!D8-Cenarios!D9*1</f>
        <v>42.935266</v>
      </c>
      <c r="C34" s="23" t="n">
        <f aca="false">Cenarios!D8-Cenarios!D9*1.5</f>
        <v>21.441404</v>
      </c>
      <c r="D34" s="23" t="n">
        <f aca="false">Cenarios!D8-Cenarios!D9*2</f>
        <v>-0.0524580000000157</v>
      </c>
      <c r="E34" s="23" t="n">
        <f aca="false">Cenarios!D8-Cenarios!D9*3</f>
        <v>-43.040182</v>
      </c>
      <c r="F34" s="23" t="n">
        <f aca="false">Cenarios!D8-Cenarios!D9*5</f>
        <v>-129.01563</v>
      </c>
      <c r="G34" s="23" t="n">
        <f aca="false">Cenarios!D8-Cenarios!D9*10</f>
        <v>-343.95425</v>
      </c>
      <c r="H34" s="23" t="n">
        <f aca="false">Cenarios!D8-Cenarios!D9*20</f>
        <v>-773.83149</v>
      </c>
    </row>
    <row r="35" customFormat="false" ht="15" hidden="false" customHeight="false" outlineLevel="0" collapsed="false">
      <c r="A35" s="4" t="s">
        <v>148</v>
      </c>
      <c r="B35" s="31" t="str">
        <f aca="false">IF((Cenarios!D8-Cenarios!D9*1)&gt;0,"OK","NEGATIVA")</f>
        <v>OK</v>
      </c>
      <c r="C35" s="31" t="str">
        <f aca="false">IF((Cenarios!D8-Cenarios!D9*1.5)&gt;0,"OK","NEGATIVA")</f>
        <v>OK</v>
      </c>
      <c r="D35" s="31" t="str">
        <f aca="false">IF((Cenarios!D8-Cenarios!D9*2)&gt;0,"OK","NEGATIVA")</f>
        <v>NEGATIVA</v>
      </c>
      <c r="E35" s="31" t="str">
        <f aca="false">IF((Cenarios!D8-Cenarios!D9*3)&gt;0,"OK","NEGATIVA")</f>
        <v>NEGATIVA</v>
      </c>
      <c r="F35" s="31" t="str">
        <f aca="false">IF((Cenarios!D8-Cenarios!D9*5)&gt;0,"OK","NEGATIVA")</f>
        <v>NEGATIVA</v>
      </c>
      <c r="G35" s="31" t="str">
        <f aca="false">IF((Cenarios!D8-Cenarios!D9*10)&gt;0,"OK","NEGATIVA")</f>
        <v>NEGATIVA</v>
      </c>
      <c r="H35" s="31" t="str">
        <f aca="false">IF((Cenarios!D8-Cenarios!D9*20)&gt;0,"OK","NEGATIVA")</f>
        <v>NEGATIVA</v>
      </c>
    </row>
    <row r="37" customFormat="false" ht="15" hidden="false" customHeight="false" outlineLevel="0" collapsed="false">
      <c r="A37" s="3" t="s">
        <v>150</v>
      </c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false" outlineLevel="0" collapsed="false">
      <c r="A38" s="2" t="s">
        <v>151</v>
      </c>
    </row>
    <row r="39" customFormat="false" ht="15" hidden="false" customHeight="false" outlineLevel="0" collapsed="false">
      <c r="A39" s="2" t="s">
        <v>152</v>
      </c>
    </row>
    <row r="40" customFormat="false" ht="15" hidden="false" customHeight="false" outlineLevel="0" collapsed="false">
      <c r="A40" s="2" t="s">
        <v>153</v>
      </c>
    </row>
    <row r="41" customFormat="false" ht="15" hidden="false" customHeight="false" outlineLevel="0" collapsed="false">
      <c r="A41" s="2" t="s">
        <v>154</v>
      </c>
    </row>
  </sheetData>
  <mergeCells count="6">
    <mergeCell ref="A4:D4"/>
    <mergeCell ref="A9:D9"/>
    <mergeCell ref="A16:D16"/>
    <mergeCell ref="A25:H25"/>
    <mergeCell ref="A32:H32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2026-05-04T19:29:06Z</dcterms:created>
  <dc:creator>openpyxl</dc:creator>
  <dc:description/>
  <dc:language>en-US</dc:language>
  <cp:lastModifiedBy/>
  <dcterms:modified xsi:type="dcterms:W3CDTF">2026-05-04T19:29:06Z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